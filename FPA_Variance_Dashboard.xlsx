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me\OneDrive\Desktop\EXCEL_PORTFOLIO_PROJECTS\Final_Projects\"/>
    </mc:Choice>
  </mc:AlternateContent>
  <xr:revisionPtr revIDLastSave="0" documentId="13_ncr:1_{49C2729E-AB36-4FEB-A175-3E7895C303A9}" xr6:coauthVersionLast="47" xr6:coauthVersionMax="47" xr10:uidLastSave="{00000000-0000-0000-0000-000000000000}"/>
  <bookViews>
    <workbookView xWindow="-108" yWindow="-108" windowWidth="23256" windowHeight="12456" tabRatio="350" activeTab="1" xr2:uid="{45BC8B81-0CE7-4CCD-BA95-F8448F9C063B}"/>
  </bookViews>
  <sheets>
    <sheet name="Raw_Data" sheetId="1" r:id="rId1"/>
    <sheet name="Dashboard" sheetId="2" r:id="rId2"/>
  </sheets>
  <definedNames>
    <definedName name="_xlchart.v1.0" hidden="1">Dashboard!$B$16:$B$25</definedName>
    <definedName name="_xlchart.v1.1" hidden="1">Dashboard!$C$16:$C$25</definedName>
    <definedName name="_xlchart.v1.2" hidden="1">Dashboard!$B$17:$B$26</definedName>
    <definedName name="_xlchart.v1.3" hidden="1">Dashboard!$C$17:$C$26</definedName>
    <definedName name="_xlchart.v1.4" hidden="1">Dashboard!$B$16:$B$25</definedName>
    <definedName name="_xlchart.v1.5" hidden="1">Dashboard!$C$16:$C$25</definedName>
    <definedName name="_xlchart.v1.6" hidden="1">Dashboard!$B$16:$B$25</definedName>
    <definedName name="_xlchart.v1.7" hidden="1">Dashboard!$C$16:$C$25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C8" i="2"/>
  <c r="D8" i="2"/>
  <c r="C9" i="2"/>
  <c r="D9" i="2"/>
  <c r="C10" i="2"/>
  <c r="D10" i="2"/>
  <c r="C11" i="2"/>
  <c r="D11" i="2"/>
  <c r="C12" i="2"/>
  <c r="D12" i="2"/>
  <c r="C13" i="2"/>
  <c r="D13" i="2"/>
  <c r="D6" i="2"/>
  <c r="C6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2" i="1"/>
  <c r="C17" i="2" l="1"/>
  <c r="C26" i="2"/>
  <c r="E7" i="2"/>
  <c r="C19" i="2" s="1"/>
  <c r="E13" i="2"/>
  <c r="C25" i="2" s="1"/>
  <c r="F6" i="2"/>
  <c r="E11" i="2"/>
  <c r="C23" i="2" s="1"/>
  <c r="E9" i="2"/>
  <c r="C21" i="2" s="1"/>
  <c r="E6" i="2"/>
  <c r="C18" i="2" s="1"/>
  <c r="E12" i="2"/>
  <c r="C24" i="2" s="1"/>
  <c r="E10" i="2"/>
  <c r="C22" i="2" s="1"/>
  <c r="E8" i="2"/>
  <c r="C20" i="2" s="1"/>
  <c r="F9" i="2"/>
  <c r="F12" i="2"/>
  <c r="F8" i="2"/>
  <c r="F11" i="2"/>
  <c r="F7" i="2"/>
  <c r="F13" i="2"/>
  <c r="F10" i="2"/>
</calcChain>
</file>

<file path=xl/sharedStrings.xml><?xml version="1.0" encoding="utf-8"?>
<sst xmlns="http://schemas.openxmlformats.org/spreadsheetml/2006/main" count="130" uniqueCount="22">
  <si>
    <t>Department</t>
  </si>
  <si>
    <t>Month</t>
  </si>
  <si>
    <t>Budget</t>
  </si>
  <si>
    <t>Actual</t>
  </si>
  <si>
    <t>Variance</t>
  </si>
  <si>
    <t>Variance_pct</t>
  </si>
  <si>
    <t>Sales</t>
  </si>
  <si>
    <t>Marketing</t>
  </si>
  <si>
    <t>Operations</t>
  </si>
  <si>
    <t>R&amp;D</t>
  </si>
  <si>
    <t>HR</t>
  </si>
  <si>
    <t>Customer Success</t>
  </si>
  <si>
    <t>Finance</t>
  </si>
  <si>
    <t>IT</t>
  </si>
  <si>
    <t>Lookup_Key</t>
  </si>
  <si>
    <t>Jan</t>
  </si>
  <si>
    <t>Variance ($)</t>
  </si>
  <si>
    <t>Variance (%)</t>
  </si>
  <si>
    <t>Total Budget</t>
  </si>
  <si>
    <t>Total Actual</t>
  </si>
  <si>
    <t>Select Month</t>
  </si>
  <si>
    <t>Net Impact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</si>
</sst>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10"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>
                <a:latin typeface="Bebas Neue" panose="020B0606020202050201" pitchFamily="34" charset="0"/>
              </a:rPr>
              <a:t>Budget vs. Actual Variance Bridge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Bebas Neue" panose="020B0606020202050201" pitchFamily="34" charset="0"/>
            </a:endParaRPr>
          </a:p>
        </cx:rich>
      </cx:tx>
    </cx:title>
    <cx:plotArea>
      <cx:plotAreaRegion>
        <cx:series layoutId="waterfall" uniqueId="{4FE63EF8-FD83-4410-9328-AEF21FD595C8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 min="3000000"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spPr>
    <a:ln w="28575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621255</xdr:colOff>
      <xdr:row>3</xdr:row>
      <xdr:rowOff>155032</xdr:rowOff>
    </xdr:from>
    <xdr:to>
      <xdr:col>15</xdr:col>
      <xdr:colOff>591670</xdr:colOff>
      <xdr:row>25</xdr:row>
      <xdr:rowOff>170329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DC6AB99-2651-198E-DD86-276FE06342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33043" y="692914"/>
              <a:ext cx="6111239" cy="39597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B82FB-BE81-4AFD-B590-A7A809EDB839}" name="Table1" displayName="Table1" ref="B5:F13" totalsRowShown="0" headerRowDxfId="7">
  <autoFilter ref="B5:F13" xr:uid="{DA4B82FB-BE81-4AFD-B590-A7A809EDB839}"/>
  <tableColumns count="5">
    <tableColumn id="1" xr3:uid="{625DC8D6-B110-4BDE-9CDC-2D90CABDF208}" name="Department" dataDxfId="6"/>
    <tableColumn id="2" xr3:uid="{B80FDC1D-75C0-4E9D-89F8-D82D6E9D4603}" name="Budget">
      <calculatedColumnFormula>INDEX(Raw_Data!D:D,MATCH(B6&amp;$B$3,Raw_Data!A:A,0))</calculatedColumnFormula>
    </tableColumn>
    <tableColumn id="3" xr3:uid="{8881E498-F504-4AAD-A605-090B630AB5B5}" name="Actual">
      <calculatedColumnFormula>INDEX(Raw_Data!E:E,MATCH(B6&amp;$B$3,Raw_Data!A:A,0))</calculatedColumnFormula>
    </tableColumn>
    <tableColumn id="4" xr3:uid="{95E00EC3-002F-4FB5-933E-0CFD434D2BF8}" name="Variance ($)">
      <calculatedColumnFormula>D6-C6</calculatedColumnFormula>
    </tableColumn>
    <tableColumn id="5" xr3:uid="{500111B8-4EDB-4648-A57F-59F7EA356B06}" name="Variance (%)" dataDxfId="5" dataCellStyle="Percent">
      <calculatedColumnFormula>IFERROR((D6-C6)/C6,0)</calculatedColumnFormula>
    </tableColumn>
  </tableColumns>
  <tableStyleInfo name="TableStyleDark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F4FEE1-B53A-4487-A4E1-97CA2DCFDD84}" name="Table4" displayName="Table4" ref="B2:B3" totalsRowShown="0" headerRowDxfId="4" dataDxfId="3">
  <autoFilter ref="B2:B3" xr:uid="{41F4FEE1-B53A-4487-A4E1-97CA2DCFDD84}"/>
  <tableColumns count="1">
    <tableColumn id="1" xr3:uid="{2FBB7D4D-C3DE-4971-A9F8-F2E511E073BB}" name="Select Month" dataDxfId="2"/>
  </tableColumns>
  <tableStyleInfo name="TableStyleDark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19EB6D-0904-477B-909F-A6E7EBC44398}" name="Table5" displayName="Table5" ref="B16:C26" totalsRowShown="0">
  <autoFilter ref="B16:C26" xr:uid="{8719EB6D-0904-477B-909F-A6E7EBC44398}"/>
  <tableColumns count="2">
    <tableColumn id="1" xr3:uid="{03EC111A-30D7-4084-8940-BDEC88AD5292}" name="Department" dataDxfId="1"/>
    <tableColumn id="2" xr3:uid="{BB76C7D9-8EC0-4FF9-A4BD-2CCF8A9A4BA8}" name="Net Impact ($)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2F99-C692-4E40-AB2F-479526CABA57}">
  <dimension ref="A1:G97"/>
  <sheetViews>
    <sheetView zoomScaleNormal="100" workbookViewId="0">
      <selection activeCell="A2" sqref="A2"/>
    </sheetView>
  </sheetViews>
  <sheetFormatPr defaultRowHeight="14.4" x14ac:dyDescent="0.3"/>
  <cols>
    <col min="1" max="1" width="27.33203125" customWidth="1"/>
    <col min="2" max="2" width="18.109375" customWidth="1"/>
    <col min="3" max="3" width="18.33203125" customWidth="1"/>
    <col min="4" max="4" width="18.44140625" customWidth="1"/>
    <col min="5" max="6" width="18.109375" customWidth="1"/>
    <col min="7" max="7" width="18.33203125" customWidth="1"/>
  </cols>
  <sheetData>
    <row r="1" spans="1:7" x14ac:dyDescent="0.3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tr">
        <f>B2&amp;TEXT(C2,"MMM")</f>
        <v>SalesJan</v>
      </c>
      <c r="B2" t="s">
        <v>6</v>
      </c>
      <c r="C2" s="1">
        <v>45292</v>
      </c>
      <c r="D2">
        <v>284101</v>
      </c>
      <c r="E2">
        <v>267910</v>
      </c>
      <c r="F2">
        <v>-16191</v>
      </c>
      <c r="G2">
        <v>-5.7000000000000002E-2</v>
      </c>
    </row>
    <row r="3" spans="1:7" x14ac:dyDescent="0.3">
      <c r="A3" t="str">
        <f t="shared" ref="A3:A66" si="0">B3&amp;TEXT(C3,"MMM")</f>
        <v>SalesFeb</v>
      </c>
      <c r="B3" t="s">
        <v>6</v>
      </c>
      <c r="C3" s="1">
        <v>45323</v>
      </c>
      <c r="D3">
        <v>52786</v>
      </c>
      <c r="E3">
        <v>50926</v>
      </c>
      <c r="F3">
        <v>-1860</v>
      </c>
      <c r="G3">
        <v>-3.5200000000000002E-2</v>
      </c>
    </row>
    <row r="4" spans="1:7" x14ac:dyDescent="0.3">
      <c r="A4" t="str">
        <f t="shared" si="0"/>
        <v>SalesMar</v>
      </c>
      <c r="B4" t="s">
        <v>6</v>
      </c>
      <c r="C4" s="1">
        <v>45352</v>
      </c>
      <c r="D4">
        <v>52777</v>
      </c>
      <c r="E4">
        <v>53012</v>
      </c>
      <c r="F4">
        <v>235</v>
      </c>
      <c r="G4">
        <v>4.4999999999999997E-3</v>
      </c>
    </row>
    <row r="5" spans="1:7" x14ac:dyDescent="0.3">
      <c r="A5" t="str">
        <f t="shared" si="0"/>
        <v>SalesApr</v>
      </c>
      <c r="B5" t="s">
        <v>6</v>
      </c>
      <c r="C5" s="1">
        <v>45383</v>
      </c>
      <c r="D5">
        <v>18621</v>
      </c>
      <c r="E5">
        <v>18392</v>
      </c>
      <c r="F5">
        <v>-229</v>
      </c>
      <c r="G5">
        <v>-1.23E-2</v>
      </c>
    </row>
    <row r="6" spans="1:7" x14ac:dyDescent="0.3">
      <c r="A6" t="str">
        <f t="shared" si="0"/>
        <v>SalesMay</v>
      </c>
      <c r="B6" t="s">
        <v>6</v>
      </c>
      <c r="C6" s="1">
        <v>45413</v>
      </c>
      <c r="D6">
        <v>625881</v>
      </c>
      <c r="E6">
        <v>602361</v>
      </c>
      <c r="F6">
        <v>-23520</v>
      </c>
      <c r="G6">
        <v>-3.7600000000000001E-2</v>
      </c>
    </row>
    <row r="7" spans="1:7" x14ac:dyDescent="0.3">
      <c r="A7" t="str">
        <f t="shared" si="0"/>
        <v>SalesJun</v>
      </c>
      <c r="B7" t="s">
        <v>6</v>
      </c>
      <c r="C7" s="1">
        <v>45444</v>
      </c>
      <c r="D7">
        <v>286012</v>
      </c>
      <c r="E7">
        <v>291770</v>
      </c>
      <c r="F7">
        <v>5758</v>
      </c>
      <c r="G7">
        <v>2.01E-2</v>
      </c>
    </row>
    <row r="8" spans="1:7" x14ac:dyDescent="0.3">
      <c r="A8" t="str">
        <f t="shared" si="0"/>
        <v>SalesJul</v>
      </c>
      <c r="B8" t="s">
        <v>6</v>
      </c>
      <c r="C8" s="1">
        <v>45474</v>
      </c>
      <c r="D8">
        <v>383156</v>
      </c>
      <c r="E8">
        <v>358292</v>
      </c>
      <c r="F8">
        <v>-24864</v>
      </c>
      <c r="G8">
        <v>-6.4899999999999999E-2</v>
      </c>
    </row>
    <row r="9" spans="1:7" x14ac:dyDescent="0.3">
      <c r="A9" t="str">
        <f t="shared" si="0"/>
        <v>SalesAug</v>
      </c>
      <c r="B9" t="s">
        <v>6</v>
      </c>
      <c r="C9" s="1">
        <v>45505</v>
      </c>
      <c r="D9">
        <v>6473</v>
      </c>
      <c r="E9">
        <v>6230</v>
      </c>
      <c r="F9">
        <v>-243</v>
      </c>
      <c r="G9">
        <v>-3.7499999999999999E-2</v>
      </c>
    </row>
    <row r="10" spans="1:7" x14ac:dyDescent="0.3">
      <c r="A10" t="str">
        <f t="shared" si="0"/>
        <v>SalesSep</v>
      </c>
      <c r="B10" t="s">
        <v>6</v>
      </c>
      <c r="C10" s="1">
        <v>45536</v>
      </c>
      <c r="D10">
        <v>1090283</v>
      </c>
      <c r="E10">
        <v>1064056</v>
      </c>
      <c r="F10">
        <v>-26227</v>
      </c>
      <c r="G10">
        <v>-2.41E-2</v>
      </c>
    </row>
    <row r="11" spans="1:7" x14ac:dyDescent="0.3">
      <c r="A11" t="str">
        <f t="shared" si="0"/>
        <v>SalesOct</v>
      </c>
      <c r="B11" t="s">
        <v>6</v>
      </c>
      <c r="C11" s="1">
        <v>45566</v>
      </c>
      <c r="D11">
        <v>555924</v>
      </c>
      <c r="E11">
        <v>551528</v>
      </c>
      <c r="F11">
        <v>-4396</v>
      </c>
      <c r="G11">
        <v>-7.9000000000000008E-3</v>
      </c>
    </row>
    <row r="12" spans="1:7" x14ac:dyDescent="0.3">
      <c r="A12" t="str">
        <f t="shared" si="0"/>
        <v>SalesNov</v>
      </c>
      <c r="B12" t="s">
        <v>6</v>
      </c>
      <c r="C12" s="1">
        <v>45597</v>
      </c>
      <c r="D12">
        <v>74278</v>
      </c>
      <c r="E12">
        <v>78090</v>
      </c>
      <c r="F12">
        <v>3812</v>
      </c>
      <c r="G12">
        <v>5.1299999999999998E-2</v>
      </c>
    </row>
    <row r="13" spans="1:7" x14ac:dyDescent="0.3">
      <c r="A13" t="str">
        <f t="shared" si="0"/>
        <v>SalesDec</v>
      </c>
      <c r="B13" t="s">
        <v>6</v>
      </c>
      <c r="C13" s="1">
        <v>45627</v>
      </c>
      <c r="D13">
        <v>62450</v>
      </c>
      <c r="E13">
        <v>59074</v>
      </c>
      <c r="F13">
        <v>-3376</v>
      </c>
      <c r="G13">
        <v>-5.4100000000000002E-2</v>
      </c>
    </row>
    <row r="14" spans="1:7" x14ac:dyDescent="0.3">
      <c r="A14" t="str">
        <f t="shared" si="0"/>
        <v>MarketingJan</v>
      </c>
      <c r="B14" t="s">
        <v>7</v>
      </c>
      <c r="C14" s="1">
        <v>45292</v>
      </c>
      <c r="D14">
        <v>1310207</v>
      </c>
      <c r="E14">
        <v>1353427</v>
      </c>
      <c r="F14">
        <v>43220</v>
      </c>
      <c r="G14">
        <v>3.3000000000000002E-2</v>
      </c>
    </row>
    <row r="15" spans="1:7" x14ac:dyDescent="0.3">
      <c r="A15" t="str">
        <f t="shared" si="0"/>
        <v>MarketingFeb</v>
      </c>
      <c r="B15" t="s">
        <v>7</v>
      </c>
      <c r="C15" s="1">
        <v>45323</v>
      </c>
      <c r="D15">
        <v>201517</v>
      </c>
      <c r="E15">
        <v>205506</v>
      </c>
      <c r="F15">
        <v>3989</v>
      </c>
      <c r="G15">
        <v>1.9800000000000002E-2</v>
      </c>
    </row>
    <row r="16" spans="1:7" x14ac:dyDescent="0.3">
      <c r="A16" t="str">
        <f t="shared" si="0"/>
        <v>MarketingMar</v>
      </c>
      <c r="B16" t="s">
        <v>7</v>
      </c>
      <c r="C16" s="1">
        <v>45352</v>
      </c>
      <c r="D16">
        <v>629971</v>
      </c>
      <c r="E16">
        <v>667753</v>
      </c>
      <c r="F16">
        <v>37782</v>
      </c>
      <c r="G16">
        <v>0.06</v>
      </c>
    </row>
    <row r="17" spans="1:7" x14ac:dyDescent="0.3">
      <c r="A17" t="str">
        <f t="shared" si="0"/>
        <v>MarketingApr</v>
      </c>
      <c r="B17" t="s">
        <v>7</v>
      </c>
      <c r="C17" s="1">
        <v>45383</v>
      </c>
      <c r="D17">
        <v>365478</v>
      </c>
      <c r="E17">
        <v>343989</v>
      </c>
      <c r="F17">
        <v>-21489</v>
      </c>
      <c r="G17">
        <v>-5.8799999999999998E-2</v>
      </c>
    </row>
    <row r="18" spans="1:7" x14ac:dyDescent="0.3">
      <c r="A18" t="str">
        <f t="shared" si="0"/>
        <v>MarketingMay</v>
      </c>
      <c r="B18" t="s">
        <v>7</v>
      </c>
      <c r="C18" s="1">
        <v>45413</v>
      </c>
      <c r="D18">
        <v>191888</v>
      </c>
      <c r="E18">
        <v>188125</v>
      </c>
      <c r="F18">
        <v>-3763</v>
      </c>
      <c r="G18">
        <v>-1.9599999999999999E-2</v>
      </c>
    </row>
    <row r="19" spans="1:7" x14ac:dyDescent="0.3">
      <c r="A19" t="str">
        <f t="shared" si="0"/>
        <v>MarketingJun</v>
      </c>
      <c r="B19" t="s">
        <v>7</v>
      </c>
      <c r="C19" s="1">
        <v>45444</v>
      </c>
      <c r="D19">
        <v>4280</v>
      </c>
      <c r="E19">
        <v>4035</v>
      </c>
      <c r="F19">
        <v>-245</v>
      </c>
      <c r="G19">
        <v>-5.7200000000000001E-2</v>
      </c>
    </row>
    <row r="20" spans="1:7" x14ac:dyDescent="0.3">
      <c r="A20" t="str">
        <f t="shared" si="0"/>
        <v>MarketingJul</v>
      </c>
      <c r="B20" t="s">
        <v>7</v>
      </c>
      <c r="C20" s="1">
        <v>45474</v>
      </c>
      <c r="D20">
        <v>913634</v>
      </c>
      <c r="E20">
        <v>955629</v>
      </c>
      <c r="F20">
        <v>41995</v>
      </c>
      <c r="G20">
        <v>4.5999999999999999E-2</v>
      </c>
    </row>
    <row r="21" spans="1:7" x14ac:dyDescent="0.3">
      <c r="A21" t="str">
        <f t="shared" si="0"/>
        <v>MarketingAug</v>
      </c>
      <c r="B21" t="s">
        <v>7</v>
      </c>
      <c r="C21" s="1">
        <v>45505</v>
      </c>
      <c r="D21">
        <v>265515</v>
      </c>
      <c r="E21">
        <v>261937</v>
      </c>
      <c r="F21">
        <v>-3578</v>
      </c>
      <c r="G21">
        <v>-1.35E-2</v>
      </c>
    </row>
    <row r="22" spans="1:7" x14ac:dyDescent="0.3">
      <c r="A22" t="str">
        <f t="shared" si="0"/>
        <v>MarketingSep</v>
      </c>
      <c r="B22" t="s">
        <v>7</v>
      </c>
      <c r="C22" s="1">
        <v>45536</v>
      </c>
      <c r="D22">
        <v>156015</v>
      </c>
      <c r="E22">
        <v>147813</v>
      </c>
      <c r="F22">
        <v>-8202</v>
      </c>
      <c r="G22">
        <v>-5.2600000000000001E-2</v>
      </c>
    </row>
    <row r="23" spans="1:7" x14ac:dyDescent="0.3">
      <c r="A23" t="str">
        <f t="shared" si="0"/>
        <v>MarketingOct</v>
      </c>
      <c r="B23" t="s">
        <v>7</v>
      </c>
      <c r="C23" s="1">
        <v>45566</v>
      </c>
      <c r="D23">
        <v>5158</v>
      </c>
      <c r="E23">
        <v>5220</v>
      </c>
      <c r="F23">
        <v>62</v>
      </c>
      <c r="G23">
        <v>1.2E-2</v>
      </c>
    </row>
    <row r="24" spans="1:7" x14ac:dyDescent="0.3">
      <c r="A24" t="str">
        <f t="shared" si="0"/>
        <v>MarketingNov</v>
      </c>
      <c r="B24" t="s">
        <v>7</v>
      </c>
      <c r="C24" s="1">
        <v>45597</v>
      </c>
      <c r="D24">
        <v>84135</v>
      </c>
      <c r="E24">
        <v>77037</v>
      </c>
      <c r="F24">
        <v>-7098</v>
      </c>
      <c r="G24">
        <v>-8.4400000000000003E-2</v>
      </c>
    </row>
    <row r="25" spans="1:7" x14ac:dyDescent="0.3">
      <c r="A25" t="str">
        <f t="shared" si="0"/>
        <v>MarketingDec</v>
      </c>
      <c r="B25" t="s">
        <v>7</v>
      </c>
      <c r="C25" s="1">
        <v>45627</v>
      </c>
      <c r="D25">
        <v>88385</v>
      </c>
      <c r="E25">
        <v>93830</v>
      </c>
      <c r="F25">
        <v>5445</v>
      </c>
      <c r="G25">
        <v>6.1600000000000002E-2</v>
      </c>
    </row>
    <row r="26" spans="1:7" x14ac:dyDescent="0.3">
      <c r="A26" t="str">
        <f t="shared" si="0"/>
        <v>OperationsJan</v>
      </c>
      <c r="B26" t="s">
        <v>8</v>
      </c>
      <c r="C26" s="1">
        <v>45292</v>
      </c>
      <c r="D26">
        <v>936211</v>
      </c>
      <c r="E26">
        <v>899294</v>
      </c>
      <c r="F26">
        <v>-36917</v>
      </c>
      <c r="G26">
        <v>-3.9399999999999998E-2</v>
      </c>
    </row>
    <row r="27" spans="1:7" x14ac:dyDescent="0.3">
      <c r="A27" t="str">
        <f t="shared" si="0"/>
        <v>OperationsFeb</v>
      </c>
      <c r="B27" t="s">
        <v>8</v>
      </c>
      <c r="C27" s="1">
        <v>45323</v>
      </c>
      <c r="D27">
        <v>751664</v>
      </c>
      <c r="E27">
        <v>757440</v>
      </c>
      <c r="F27">
        <v>5776</v>
      </c>
      <c r="G27">
        <v>7.7000000000000002E-3</v>
      </c>
    </row>
    <row r="28" spans="1:7" x14ac:dyDescent="0.3">
      <c r="A28" t="str">
        <f t="shared" si="0"/>
        <v>OperationsMar</v>
      </c>
      <c r="B28" t="s">
        <v>8</v>
      </c>
      <c r="C28" s="1">
        <v>45352</v>
      </c>
      <c r="D28">
        <v>304068</v>
      </c>
      <c r="E28">
        <v>284414</v>
      </c>
      <c r="F28">
        <v>-19654</v>
      </c>
      <c r="G28">
        <v>-6.4600000000000005E-2</v>
      </c>
    </row>
    <row r="29" spans="1:7" x14ac:dyDescent="0.3">
      <c r="A29" t="str">
        <f t="shared" si="0"/>
        <v>OperationsApr</v>
      </c>
      <c r="B29" t="s">
        <v>8</v>
      </c>
      <c r="C29" s="1">
        <v>45383</v>
      </c>
      <c r="D29">
        <v>850883</v>
      </c>
      <c r="E29">
        <v>897167</v>
      </c>
      <c r="F29">
        <v>46284</v>
      </c>
      <c r="G29">
        <v>5.4399999999999997E-2</v>
      </c>
    </row>
    <row r="30" spans="1:7" x14ac:dyDescent="0.3">
      <c r="A30" t="str">
        <f t="shared" si="0"/>
        <v>OperationsMay</v>
      </c>
      <c r="B30" t="s">
        <v>8</v>
      </c>
      <c r="C30" s="1">
        <v>45413</v>
      </c>
      <c r="D30">
        <v>30924</v>
      </c>
      <c r="E30">
        <v>28555</v>
      </c>
      <c r="F30">
        <v>-2369</v>
      </c>
      <c r="G30">
        <v>-7.6600000000000001E-2</v>
      </c>
    </row>
    <row r="31" spans="1:7" x14ac:dyDescent="0.3">
      <c r="A31" t="str">
        <f t="shared" si="0"/>
        <v>OperationsJun</v>
      </c>
      <c r="B31" t="s">
        <v>8</v>
      </c>
      <c r="C31" s="1">
        <v>45444</v>
      </c>
      <c r="D31">
        <v>72803</v>
      </c>
      <c r="E31">
        <v>79183</v>
      </c>
      <c r="F31">
        <v>6380</v>
      </c>
      <c r="G31">
        <v>8.7599999999999997E-2</v>
      </c>
    </row>
    <row r="32" spans="1:7" x14ac:dyDescent="0.3">
      <c r="A32" t="str">
        <f t="shared" si="0"/>
        <v>OperationsJul</v>
      </c>
      <c r="B32" t="s">
        <v>8</v>
      </c>
      <c r="C32" s="1">
        <v>45474</v>
      </c>
      <c r="D32">
        <v>15447</v>
      </c>
      <c r="E32">
        <v>16203</v>
      </c>
      <c r="F32">
        <v>756</v>
      </c>
      <c r="G32">
        <v>4.8899999999999999E-2</v>
      </c>
    </row>
    <row r="33" spans="1:7" x14ac:dyDescent="0.3">
      <c r="A33" t="str">
        <f t="shared" si="0"/>
        <v>OperationsAug</v>
      </c>
      <c r="B33" t="s">
        <v>8</v>
      </c>
      <c r="C33" s="1">
        <v>45505</v>
      </c>
      <c r="D33">
        <v>131343</v>
      </c>
      <c r="E33">
        <v>124220</v>
      </c>
      <c r="F33">
        <v>-7123</v>
      </c>
      <c r="G33">
        <v>-5.4199999999999998E-2</v>
      </c>
    </row>
    <row r="34" spans="1:7" x14ac:dyDescent="0.3">
      <c r="A34" t="str">
        <f t="shared" si="0"/>
        <v>OperationsSep</v>
      </c>
      <c r="B34" t="s">
        <v>8</v>
      </c>
      <c r="C34" s="1">
        <v>45536</v>
      </c>
      <c r="D34">
        <v>164250</v>
      </c>
      <c r="E34">
        <v>149630</v>
      </c>
      <c r="F34">
        <v>-14620</v>
      </c>
      <c r="G34">
        <v>-8.8999999999999996E-2</v>
      </c>
    </row>
    <row r="35" spans="1:7" x14ac:dyDescent="0.3">
      <c r="A35" t="str">
        <f t="shared" si="0"/>
        <v>OperationsOct</v>
      </c>
      <c r="B35" t="s">
        <v>8</v>
      </c>
      <c r="C35" s="1">
        <v>45566</v>
      </c>
      <c r="D35">
        <v>105653</v>
      </c>
      <c r="E35">
        <v>111652</v>
      </c>
      <c r="F35">
        <v>5999</v>
      </c>
      <c r="G35">
        <v>5.6800000000000003E-2</v>
      </c>
    </row>
    <row r="36" spans="1:7" x14ac:dyDescent="0.3">
      <c r="A36" t="str">
        <f t="shared" si="0"/>
        <v>OperationsNov</v>
      </c>
      <c r="B36" t="s">
        <v>8</v>
      </c>
      <c r="C36" s="1">
        <v>45597</v>
      </c>
      <c r="D36">
        <v>588928</v>
      </c>
      <c r="E36">
        <v>610856</v>
      </c>
      <c r="F36">
        <v>21928</v>
      </c>
      <c r="G36">
        <v>3.7199999999999997E-2</v>
      </c>
    </row>
    <row r="37" spans="1:7" x14ac:dyDescent="0.3">
      <c r="A37" t="str">
        <f t="shared" si="0"/>
        <v>OperationsDec</v>
      </c>
      <c r="B37" t="s">
        <v>8</v>
      </c>
      <c r="C37" s="1">
        <v>45627</v>
      </c>
      <c r="D37">
        <v>147261</v>
      </c>
      <c r="E37">
        <v>153331</v>
      </c>
      <c r="F37">
        <v>6070</v>
      </c>
      <c r="G37">
        <v>4.1200000000000001E-2</v>
      </c>
    </row>
    <row r="38" spans="1:7" x14ac:dyDescent="0.3">
      <c r="A38" t="str">
        <f t="shared" si="0"/>
        <v>R&amp;DJan</v>
      </c>
      <c r="B38" t="s">
        <v>9</v>
      </c>
      <c r="C38" s="1">
        <v>45292</v>
      </c>
      <c r="D38">
        <v>32179</v>
      </c>
      <c r="E38">
        <v>32018</v>
      </c>
      <c r="F38">
        <v>-161</v>
      </c>
      <c r="G38">
        <v>-5.0000000000000001E-3</v>
      </c>
    </row>
    <row r="39" spans="1:7" x14ac:dyDescent="0.3">
      <c r="A39" t="str">
        <f t="shared" si="0"/>
        <v>R&amp;DFeb</v>
      </c>
      <c r="B39" t="s">
        <v>9</v>
      </c>
      <c r="C39" s="1">
        <v>45323</v>
      </c>
      <c r="D39">
        <v>185677</v>
      </c>
      <c r="E39">
        <v>172963</v>
      </c>
      <c r="F39">
        <v>-12714</v>
      </c>
      <c r="G39">
        <v>-6.8500000000000005E-2</v>
      </c>
    </row>
    <row r="40" spans="1:7" x14ac:dyDescent="0.3">
      <c r="A40" t="str">
        <f t="shared" si="0"/>
        <v>R&amp;DMar</v>
      </c>
      <c r="B40" t="s">
        <v>9</v>
      </c>
      <c r="C40" s="1">
        <v>45352</v>
      </c>
      <c r="D40">
        <v>51513</v>
      </c>
      <c r="E40">
        <v>53490</v>
      </c>
      <c r="F40">
        <v>1977</v>
      </c>
      <c r="G40">
        <v>3.8399999999999997E-2</v>
      </c>
    </row>
    <row r="41" spans="1:7" x14ac:dyDescent="0.3">
      <c r="A41" t="str">
        <f t="shared" si="0"/>
        <v>R&amp;DApr</v>
      </c>
      <c r="B41" t="s">
        <v>9</v>
      </c>
      <c r="C41" s="1">
        <v>45383</v>
      </c>
      <c r="D41">
        <v>831785</v>
      </c>
      <c r="E41">
        <v>870830</v>
      </c>
      <c r="F41">
        <v>39045</v>
      </c>
      <c r="G41">
        <v>4.6899999999999997E-2</v>
      </c>
    </row>
    <row r="42" spans="1:7" x14ac:dyDescent="0.3">
      <c r="A42" t="str">
        <f t="shared" si="0"/>
        <v>R&amp;DMay</v>
      </c>
      <c r="B42" t="s">
        <v>9</v>
      </c>
      <c r="C42" s="1">
        <v>45413</v>
      </c>
      <c r="D42">
        <v>408379</v>
      </c>
      <c r="E42">
        <v>412883</v>
      </c>
      <c r="F42">
        <v>4504</v>
      </c>
      <c r="G42">
        <v>1.0999999999999999E-2</v>
      </c>
    </row>
    <row r="43" spans="1:7" x14ac:dyDescent="0.3">
      <c r="A43" t="str">
        <f t="shared" si="0"/>
        <v>R&amp;DJun</v>
      </c>
      <c r="B43" t="s">
        <v>9</v>
      </c>
      <c r="C43" s="1">
        <v>45444</v>
      </c>
      <c r="D43">
        <v>168077</v>
      </c>
      <c r="E43">
        <v>176274</v>
      </c>
      <c r="F43">
        <v>8197</v>
      </c>
      <c r="G43">
        <v>4.8800000000000003E-2</v>
      </c>
    </row>
    <row r="44" spans="1:7" x14ac:dyDescent="0.3">
      <c r="A44" t="str">
        <f t="shared" si="0"/>
        <v>R&amp;DJul</v>
      </c>
      <c r="B44" t="s">
        <v>9</v>
      </c>
      <c r="C44" s="1">
        <v>45474</v>
      </c>
      <c r="D44">
        <v>27468</v>
      </c>
      <c r="E44">
        <v>27437</v>
      </c>
      <c r="F44">
        <v>-31</v>
      </c>
      <c r="G44">
        <v>-1.1000000000000001E-3</v>
      </c>
    </row>
    <row r="45" spans="1:7" x14ac:dyDescent="0.3">
      <c r="A45" t="str">
        <f t="shared" si="0"/>
        <v>R&amp;DAug</v>
      </c>
      <c r="B45" t="s">
        <v>9</v>
      </c>
      <c r="C45" s="1">
        <v>45505</v>
      </c>
      <c r="D45">
        <v>155809</v>
      </c>
      <c r="E45">
        <v>156446</v>
      </c>
      <c r="F45">
        <v>637</v>
      </c>
      <c r="G45">
        <v>4.1000000000000003E-3</v>
      </c>
    </row>
    <row r="46" spans="1:7" x14ac:dyDescent="0.3">
      <c r="A46" t="str">
        <f t="shared" si="0"/>
        <v>R&amp;DSep</v>
      </c>
      <c r="B46" t="s">
        <v>9</v>
      </c>
      <c r="C46" s="1">
        <v>45536</v>
      </c>
      <c r="D46">
        <v>164520</v>
      </c>
      <c r="E46">
        <v>162374</v>
      </c>
      <c r="F46">
        <v>-2146</v>
      </c>
      <c r="G46">
        <v>-1.2999999999999999E-2</v>
      </c>
    </row>
    <row r="47" spans="1:7" x14ac:dyDescent="0.3">
      <c r="A47" t="str">
        <f t="shared" si="0"/>
        <v>R&amp;DOct</v>
      </c>
      <c r="B47" t="s">
        <v>9</v>
      </c>
      <c r="C47" s="1">
        <v>45566</v>
      </c>
      <c r="D47">
        <v>547074</v>
      </c>
      <c r="E47">
        <v>500340</v>
      </c>
      <c r="F47">
        <v>-46734</v>
      </c>
      <c r="G47">
        <v>-8.5400000000000004E-2</v>
      </c>
    </row>
    <row r="48" spans="1:7" x14ac:dyDescent="0.3">
      <c r="A48" t="str">
        <f t="shared" si="0"/>
        <v>R&amp;DNov</v>
      </c>
      <c r="B48" t="s">
        <v>9</v>
      </c>
      <c r="C48" s="1">
        <v>45597</v>
      </c>
      <c r="D48">
        <v>424520</v>
      </c>
      <c r="E48">
        <v>394557</v>
      </c>
      <c r="F48">
        <v>-29963</v>
      </c>
      <c r="G48">
        <v>-7.0599999999999996E-2</v>
      </c>
    </row>
    <row r="49" spans="1:7" x14ac:dyDescent="0.3">
      <c r="A49" t="str">
        <f t="shared" si="0"/>
        <v>R&amp;DDec</v>
      </c>
      <c r="B49" t="s">
        <v>9</v>
      </c>
      <c r="C49" s="1">
        <v>45627</v>
      </c>
      <c r="D49">
        <v>912818</v>
      </c>
      <c r="E49">
        <v>835828</v>
      </c>
      <c r="F49">
        <v>-76990</v>
      </c>
      <c r="G49">
        <v>-8.43E-2</v>
      </c>
    </row>
    <row r="50" spans="1:7" x14ac:dyDescent="0.3">
      <c r="A50" t="str">
        <f t="shared" si="0"/>
        <v>HRJan</v>
      </c>
      <c r="B50" t="s">
        <v>10</v>
      </c>
      <c r="C50" s="1">
        <v>45292</v>
      </c>
      <c r="D50">
        <v>176168</v>
      </c>
      <c r="E50">
        <v>180398</v>
      </c>
      <c r="F50">
        <v>4230</v>
      </c>
      <c r="G50">
        <v>2.4E-2</v>
      </c>
    </row>
    <row r="51" spans="1:7" x14ac:dyDescent="0.3">
      <c r="A51" t="str">
        <f t="shared" si="0"/>
        <v>HRFeb</v>
      </c>
      <c r="B51" t="s">
        <v>10</v>
      </c>
      <c r="C51" s="1">
        <v>45323</v>
      </c>
      <c r="D51">
        <v>331631</v>
      </c>
      <c r="E51">
        <v>353804</v>
      </c>
      <c r="F51">
        <v>22173</v>
      </c>
      <c r="G51">
        <v>6.6900000000000001E-2</v>
      </c>
    </row>
    <row r="52" spans="1:7" x14ac:dyDescent="0.3">
      <c r="A52" t="str">
        <f t="shared" si="0"/>
        <v>HRMar</v>
      </c>
      <c r="B52" t="s">
        <v>10</v>
      </c>
      <c r="C52" s="1">
        <v>45352</v>
      </c>
      <c r="D52">
        <v>1111570</v>
      </c>
      <c r="E52">
        <v>1172329</v>
      </c>
      <c r="F52">
        <v>60759</v>
      </c>
      <c r="G52">
        <v>5.4699999999999999E-2</v>
      </c>
    </row>
    <row r="53" spans="1:7" x14ac:dyDescent="0.3">
      <c r="A53" t="str">
        <f t="shared" si="0"/>
        <v>HRApr</v>
      </c>
      <c r="B53" t="s">
        <v>10</v>
      </c>
      <c r="C53" s="1">
        <v>45383</v>
      </c>
      <c r="D53">
        <v>133849</v>
      </c>
      <c r="E53">
        <v>126297</v>
      </c>
      <c r="F53">
        <v>-7552</v>
      </c>
      <c r="G53">
        <v>-5.6399999999999999E-2</v>
      </c>
    </row>
    <row r="54" spans="1:7" x14ac:dyDescent="0.3">
      <c r="A54" t="str">
        <f t="shared" si="0"/>
        <v>HRMay</v>
      </c>
      <c r="B54" t="s">
        <v>10</v>
      </c>
      <c r="C54" s="1">
        <v>45413</v>
      </c>
      <c r="D54">
        <v>246601</v>
      </c>
      <c r="E54">
        <v>264025</v>
      </c>
      <c r="F54">
        <v>17424</v>
      </c>
      <c r="G54">
        <v>7.0699999999999999E-2</v>
      </c>
    </row>
    <row r="55" spans="1:7" x14ac:dyDescent="0.3">
      <c r="A55" t="str">
        <f t="shared" si="0"/>
        <v>HRJun</v>
      </c>
      <c r="B55" t="s">
        <v>10</v>
      </c>
      <c r="C55" s="1">
        <v>45444</v>
      </c>
      <c r="D55">
        <v>657601</v>
      </c>
      <c r="E55">
        <v>662257</v>
      </c>
      <c r="F55">
        <v>4656</v>
      </c>
      <c r="G55">
        <v>7.1000000000000004E-3</v>
      </c>
    </row>
    <row r="56" spans="1:7" x14ac:dyDescent="0.3">
      <c r="A56" t="str">
        <f t="shared" si="0"/>
        <v>HRJul</v>
      </c>
      <c r="B56" t="s">
        <v>10</v>
      </c>
      <c r="C56" s="1">
        <v>45474</v>
      </c>
      <c r="D56">
        <v>121277</v>
      </c>
      <c r="E56">
        <v>127988</v>
      </c>
      <c r="F56">
        <v>6711</v>
      </c>
      <c r="G56">
        <v>5.5300000000000002E-2</v>
      </c>
    </row>
    <row r="57" spans="1:7" x14ac:dyDescent="0.3">
      <c r="A57" t="str">
        <f t="shared" si="0"/>
        <v>HRAug</v>
      </c>
      <c r="B57" t="s">
        <v>10</v>
      </c>
      <c r="C57" s="1">
        <v>45505</v>
      </c>
      <c r="D57">
        <v>37393</v>
      </c>
      <c r="E57">
        <v>40058</v>
      </c>
      <c r="F57">
        <v>2665</v>
      </c>
      <c r="G57">
        <v>7.1300000000000002E-2</v>
      </c>
    </row>
    <row r="58" spans="1:7" x14ac:dyDescent="0.3">
      <c r="A58" t="str">
        <f t="shared" si="0"/>
        <v>HRSep</v>
      </c>
      <c r="B58" t="s">
        <v>10</v>
      </c>
      <c r="C58" s="1">
        <v>45536</v>
      </c>
      <c r="D58">
        <v>159710</v>
      </c>
      <c r="E58">
        <v>154478</v>
      </c>
      <c r="F58">
        <v>-5232</v>
      </c>
      <c r="G58">
        <v>-3.2800000000000003E-2</v>
      </c>
    </row>
    <row r="59" spans="1:7" x14ac:dyDescent="0.3">
      <c r="A59" t="str">
        <f t="shared" si="0"/>
        <v>HROct</v>
      </c>
      <c r="B59" t="s">
        <v>10</v>
      </c>
      <c r="C59" s="1">
        <v>45566</v>
      </c>
      <c r="D59">
        <v>82067</v>
      </c>
      <c r="E59">
        <v>76306</v>
      </c>
      <c r="F59">
        <v>-5761</v>
      </c>
      <c r="G59">
        <v>-7.0199999999999999E-2</v>
      </c>
    </row>
    <row r="60" spans="1:7" x14ac:dyDescent="0.3">
      <c r="A60" t="str">
        <f t="shared" si="0"/>
        <v>HRNov</v>
      </c>
      <c r="B60" t="s">
        <v>10</v>
      </c>
      <c r="C60" s="1">
        <v>45597</v>
      </c>
      <c r="D60">
        <v>1239326</v>
      </c>
      <c r="E60">
        <v>1178634</v>
      </c>
      <c r="F60">
        <v>-60692</v>
      </c>
      <c r="G60">
        <v>-4.9000000000000002E-2</v>
      </c>
    </row>
    <row r="61" spans="1:7" x14ac:dyDescent="0.3">
      <c r="A61" t="str">
        <f t="shared" si="0"/>
        <v>HRDec</v>
      </c>
      <c r="B61" t="s">
        <v>10</v>
      </c>
      <c r="C61" s="1">
        <v>45627</v>
      </c>
      <c r="D61">
        <v>770631</v>
      </c>
      <c r="E61">
        <v>760519</v>
      </c>
      <c r="F61">
        <v>-10112</v>
      </c>
      <c r="G61">
        <v>-1.3100000000000001E-2</v>
      </c>
    </row>
    <row r="62" spans="1:7" x14ac:dyDescent="0.3">
      <c r="A62" t="str">
        <f t="shared" si="0"/>
        <v>Customer SuccessJan</v>
      </c>
      <c r="B62" t="s">
        <v>11</v>
      </c>
      <c r="C62" s="1">
        <v>45292</v>
      </c>
      <c r="D62">
        <v>1363</v>
      </c>
      <c r="E62">
        <v>1476</v>
      </c>
      <c r="F62">
        <v>113</v>
      </c>
      <c r="G62">
        <v>8.2900000000000001E-2</v>
      </c>
    </row>
    <row r="63" spans="1:7" x14ac:dyDescent="0.3">
      <c r="A63" t="str">
        <f t="shared" si="0"/>
        <v>Customer SuccessFeb</v>
      </c>
      <c r="B63" t="s">
        <v>11</v>
      </c>
      <c r="C63" s="1">
        <v>45323</v>
      </c>
      <c r="D63">
        <v>139699</v>
      </c>
      <c r="E63">
        <v>133457</v>
      </c>
      <c r="F63">
        <v>-6242</v>
      </c>
      <c r="G63">
        <v>-4.4699999999999997E-2</v>
      </c>
    </row>
    <row r="64" spans="1:7" x14ac:dyDescent="0.3">
      <c r="A64" t="str">
        <f t="shared" si="0"/>
        <v>Customer SuccessMar</v>
      </c>
      <c r="B64" t="s">
        <v>11</v>
      </c>
      <c r="C64" s="1">
        <v>45352</v>
      </c>
      <c r="D64">
        <v>105579</v>
      </c>
      <c r="E64">
        <v>105526</v>
      </c>
      <c r="F64">
        <v>-53</v>
      </c>
      <c r="G64">
        <v>-5.0000000000000001E-4</v>
      </c>
    </row>
    <row r="65" spans="1:7" x14ac:dyDescent="0.3">
      <c r="A65" t="str">
        <f t="shared" si="0"/>
        <v>Customer SuccessApr</v>
      </c>
      <c r="B65" t="s">
        <v>11</v>
      </c>
      <c r="C65" s="1">
        <v>45383</v>
      </c>
      <c r="D65">
        <v>49083</v>
      </c>
      <c r="E65">
        <v>47323</v>
      </c>
      <c r="F65">
        <v>-1760</v>
      </c>
      <c r="G65">
        <v>-3.5900000000000001E-2</v>
      </c>
    </row>
    <row r="66" spans="1:7" x14ac:dyDescent="0.3">
      <c r="A66" t="str">
        <f t="shared" si="0"/>
        <v>Customer SuccessMay</v>
      </c>
      <c r="B66" t="s">
        <v>11</v>
      </c>
      <c r="C66" s="1">
        <v>45413</v>
      </c>
      <c r="D66">
        <v>24951</v>
      </c>
      <c r="E66">
        <v>23984</v>
      </c>
      <c r="F66">
        <v>-967</v>
      </c>
      <c r="G66">
        <v>-3.8800000000000001E-2</v>
      </c>
    </row>
    <row r="67" spans="1:7" x14ac:dyDescent="0.3">
      <c r="A67" t="str">
        <f t="shared" ref="A67:A97" si="1">B67&amp;TEXT(C67,"MMM")</f>
        <v>Customer SuccessJun</v>
      </c>
      <c r="B67" t="s">
        <v>11</v>
      </c>
      <c r="C67" s="1">
        <v>45444</v>
      </c>
      <c r="D67">
        <v>80494</v>
      </c>
      <c r="E67">
        <v>73783</v>
      </c>
      <c r="F67">
        <v>-6711</v>
      </c>
      <c r="G67">
        <v>-8.3400000000000002E-2</v>
      </c>
    </row>
    <row r="68" spans="1:7" x14ac:dyDescent="0.3">
      <c r="A68" t="str">
        <f t="shared" si="1"/>
        <v>Customer SuccessJul</v>
      </c>
      <c r="B68" t="s">
        <v>11</v>
      </c>
      <c r="C68" s="1">
        <v>45474</v>
      </c>
      <c r="D68">
        <v>559505</v>
      </c>
      <c r="E68">
        <v>570539</v>
      </c>
      <c r="F68">
        <v>11034</v>
      </c>
      <c r="G68">
        <v>1.9699999999999999E-2</v>
      </c>
    </row>
    <row r="69" spans="1:7" x14ac:dyDescent="0.3">
      <c r="A69" t="str">
        <f t="shared" si="1"/>
        <v>Customer SuccessAug</v>
      </c>
      <c r="B69" t="s">
        <v>11</v>
      </c>
      <c r="C69" s="1">
        <v>45505</v>
      </c>
      <c r="D69">
        <v>76288</v>
      </c>
      <c r="E69">
        <v>76324</v>
      </c>
      <c r="F69">
        <v>36</v>
      </c>
      <c r="G69">
        <v>5.0000000000000001E-4</v>
      </c>
    </row>
    <row r="70" spans="1:7" x14ac:dyDescent="0.3">
      <c r="A70" t="str">
        <f t="shared" si="1"/>
        <v>Customer SuccessSep</v>
      </c>
      <c r="B70" t="s">
        <v>11</v>
      </c>
      <c r="C70" s="1">
        <v>45536</v>
      </c>
      <c r="D70">
        <v>142939</v>
      </c>
      <c r="E70">
        <v>131398</v>
      </c>
      <c r="F70">
        <v>-11541</v>
      </c>
      <c r="G70">
        <v>-8.0699999999999994E-2</v>
      </c>
    </row>
    <row r="71" spans="1:7" x14ac:dyDescent="0.3">
      <c r="A71" t="str">
        <f t="shared" si="1"/>
        <v>Customer SuccessOct</v>
      </c>
      <c r="B71" t="s">
        <v>11</v>
      </c>
      <c r="C71" s="1">
        <v>45566</v>
      </c>
      <c r="D71">
        <v>237254</v>
      </c>
      <c r="E71">
        <v>227800</v>
      </c>
      <c r="F71">
        <v>-9454</v>
      </c>
      <c r="G71">
        <v>-3.9800000000000002E-2</v>
      </c>
    </row>
    <row r="72" spans="1:7" x14ac:dyDescent="0.3">
      <c r="A72" t="str">
        <f t="shared" si="1"/>
        <v>Customer SuccessNov</v>
      </c>
      <c r="B72" t="s">
        <v>11</v>
      </c>
      <c r="C72" s="1">
        <v>45597</v>
      </c>
      <c r="D72">
        <v>88324</v>
      </c>
      <c r="E72">
        <v>94814</v>
      </c>
      <c r="F72">
        <v>6490</v>
      </c>
      <c r="G72">
        <v>7.3499999999999996E-2</v>
      </c>
    </row>
    <row r="73" spans="1:7" x14ac:dyDescent="0.3">
      <c r="A73" t="str">
        <f t="shared" si="1"/>
        <v>Customer SuccessDec</v>
      </c>
      <c r="B73" t="s">
        <v>11</v>
      </c>
      <c r="C73" s="1">
        <v>45627</v>
      </c>
      <c r="D73">
        <v>697211</v>
      </c>
      <c r="E73">
        <v>664526</v>
      </c>
      <c r="F73">
        <v>-32685</v>
      </c>
      <c r="G73">
        <v>-4.6899999999999997E-2</v>
      </c>
    </row>
    <row r="74" spans="1:7" x14ac:dyDescent="0.3">
      <c r="A74" t="str">
        <f t="shared" si="1"/>
        <v>FinanceJan</v>
      </c>
      <c r="B74" t="s">
        <v>12</v>
      </c>
      <c r="C74" s="1">
        <v>45292</v>
      </c>
      <c r="D74">
        <v>204546</v>
      </c>
      <c r="E74">
        <v>215530</v>
      </c>
      <c r="F74">
        <v>10984</v>
      </c>
      <c r="G74">
        <v>5.3699999999999998E-2</v>
      </c>
    </row>
    <row r="75" spans="1:7" x14ac:dyDescent="0.3">
      <c r="A75" t="str">
        <f t="shared" si="1"/>
        <v>FinanceFeb</v>
      </c>
      <c r="B75" t="s">
        <v>12</v>
      </c>
      <c r="C75" s="1">
        <v>45323</v>
      </c>
      <c r="D75">
        <v>160450</v>
      </c>
      <c r="E75">
        <v>150362</v>
      </c>
      <c r="F75">
        <v>-10088</v>
      </c>
      <c r="G75">
        <v>-6.2899999999999998E-2</v>
      </c>
    </row>
    <row r="76" spans="1:7" x14ac:dyDescent="0.3">
      <c r="A76" t="str">
        <f t="shared" si="1"/>
        <v>FinanceMar</v>
      </c>
      <c r="B76" t="s">
        <v>12</v>
      </c>
      <c r="C76" s="1">
        <v>45352</v>
      </c>
      <c r="D76">
        <v>217501</v>
      </c>
      <c r="E76">
        <v>217821</v>
      </c>
      <c r="F76">
        <v>320</v>
      </c>
      <c r="G76">
        <v>1.5E-3</v>
      </c>
    </row>
    <row r="77" spans="1:7" x14ac:dyDescent="0.3">
      <c r="A77" t="str">
        <f t="shared" si="1"/>
        <v>FinanceApr</v>
      </c>
      <c r="B77" t="s">
        <v>12</v>
      </c>
      <c r="C77" s="1">
        <v>45383</v>
      </c>
      <c r="D77">
        <v>242694</v>
      </c>
      <c r="E77">
        <v>251248</v>
      </c>
      <c r="F77">
        <v>8554</v>
      </c>
      <c r="G77">
        <v>3.5200000000000002E-2</v>
      </c>
    </row>
    <row r="78" spans="1:7" x14ac:dyDescent="0.3">
      <c r="A78" t="str">
        <f t="shared" si="1"/>
        <v>FinanceMay</v>
      </c>
      <c r="B78" t="s">
        <v>12</v>
      </c>
      <c r="C78" s="1">
        <v>45413</v>
      </c>
      <c r="D78">
        <v>22781</v>
      </c>
      <c r="E78">
        <v>24250</v>
      </c>
      <c r="F78">
        <v>1469</v>
      </c>
      <c r="G78">
        <v>6.4500000000000002E-2</v>
      </c>
    </row>
    <row r="79" spans="1:7" x14ac:dyDescent="0.3">
      <c r="A79" t="str">
        <f t="shared" si="1"/>
        <v>FinanceJun</v>
      </c>
      <c r="B79" t="s">
        <v>12</v>
      </c>
      <c r="C79" s="1">
        <v>45444</v>
      </c>
      <c r="D79">
        <v>124695</v>
      </c>
      <c r="E79">
        <v>120788</v>
      </c>
      <c r="F79">
        <v>-3907</v>
      </c>
      <c r="G79">
        <v>-3.1300000000000001E-2</v>
      </c>
    </row>
    <row r="80" spans="1:7" x14ac:dyDescent="0.3">
      <c r="A80" t="str">
        <f t="shared" si="1"/>
        <v>FinanceJul</v>
      </c>
      <c r="B80" t="s">
        <v>12</v>
      </c>
      <c r="C80" s="1">
        <v>45474</v>
      </c>
      <c r="D80">
        <v>74922</v>
      </c>
      <c r="E80">
        <v>71149</v>
      </c>
      <c r="F80">
        <v>-3773</v>
      </c>
      <c r="G80">
        <v>-5.04E-2</v>
      </c>
    </row>
    <row r="81" spans="1:7" x14ac:dyDescent="0.3">
      <c r="A81" t="str">
        <f t="shared" si="1"/>
        <v>FinanceAug</v>
      </c>
      <c r="B81" t="s">
        <v>12</v>
      </c>
      <c r="C81" s="1">
        <v>45505</v>
      </c>
      <c r="D81">
        <v>439148</v>
      </c>
      <c r="E81">
        <v>455838</v>
      </c>
      <c r="F81">
        <v>16690</v>
      </c>
      <c r="G81">
        <v>3.7999999999999999E-2</v>
      </c>
    </row>
    <row r="82" spans="1:7" x14ac:dyDescent="0.3">
      <c r="A82" t="str">
        <f t="shared" si="1"/>
        <v>FinanceSep</v>
      </c>
      <c r="B82" t="s">
        <v>12</v>
      </c>
      <c r="C82" s="1">
        <v>45536</v>
      </c>
      <c r="D82">
        <v>171698</v>
      </c>
      <c r="E82">
        <v>181263</v>
      </c>
      <c r="F82">
        <v>9565</v>
      </c>
      <c r="G82">
        <v>5.57E-2</v>
      </c>
    </row>
    <row r="83" spans="1:7" x14ac:dyDescent="0.3">
      <c r="A83" t="str">
        <f t="shared" si="1"/>
        <v>FinanceOct</v>
      </c>
      <c r="B83" t="s">
        <v>12</v>
      </c>
      <c r="C83" s="1">
        <v>45566</v>
      </c>
      <c r="D83">
        <v>1107759</v>
      </c>
      <c r="E83">
        <v>1077583</v>
      </c>
      <c r="F83">
        <v>-30176</v>
      </c>
      <c r="G83">
        <v>-2.7199999999999998E-2</v>
      </c>
    </row>
    <row r="84" spans="1:7" x14ac:dyDescent="0.3">
      <c r="A84" t="str">
        <f t="shared" si="1"/>
        <v>FinanceNov</v>
      </c>
      <c r="B84" t="s">
        <v>12</v>
      </c>
      <c r="C84" s="1">
        <v>45597</v>
      </c>
      <c r="D84">
        <v>137497</v>
      </c>
      <c r="E84">
        <v>127502</v>
      </c>
      <c r="F84">
        <v>-9995</v>
      </c>
      <c r="G84">
        <v>-7.2700000000000001E-2</v>
      </c>
    </row>
    <row r="85" spans="1:7" x14ac:dyDescent="0.3">
      <c r="A85" t="str">
        <f t="shared" si="1"/>
        <v>FinanceDec</v>
      </c>
      <c r="B85" t="s">
        <v>12</v>
      </c>
      <c r="C85" s="1">
        <v>45627</v>
      </c>
      <c r="D85">
        <v>458038</v>
      </c>
      <c r="E85">
        <v>494357</v>
      </c>
      <c r="F85">
        <v>36319</v>
      </c>
      <c r="G85">
        <v>7.9299999999999995E-2</v>
      </c>
    </row>
    <row r="86" spans="1:7" x14ac:dyDescent="0.3">
      <c r="A86" t="str">
        <f t="shared" si="1"/>
        <v>ITJan</v>
      </c>
      <c r="B86" t="s">
        <v>13</v>
      </c>
      <c r="C86" s="1">
        <v>45292</v>
      </c>
      <c r="D86">
        <v>107335</v>
      </c>
      <c r="E86">
        <v>116922</v>
      </c>
      <c r="F86">
        <v>9587</v>
      </c>
      <c r="G86">
        <v>8.9300000000000004E-2</v>
      </c>
    </row>
    <row r="87" spans="1:7" x14ac:dyDescent="0.3">
      <c r="A87" t="str">
        <f t="shared" si="1"/>
        <v>ITFeb</v>
      </c>
      <c r="B87" t="s">
        <v>13</v>
      </c>
      <c r="C87" s="1">
        <v>45323</v>
      </c>
      <c r="D87">
        <v>267622</v>
      </c>
      <c r="E87">
        <v>290042</v>
      </c>
      <c r="F87">
        <v>22420</v>
      </c>
      <c r="G87">
        <v>8.3799999999999999E-2</v>
      </c>
    </row>
    <row r="88" spans="1:7" x14ac:dyDescent="0.3">
      <c r="A88" t="str">
        <f t="shared" si="1"/>
        <v>ITMar</v>
      </c>
      <c r="B88" t="s">
        <v>13</v>
      </c>
      <c r="C88" s="1">
        <v>45352</v>
      </c>
      <c r="D88">
        <v>165729</v>
      </c>
      <c r="E88">
        <v>167467</v>
      </c>
      <c r="F88">
        <v>1738</v>
      </c>
      <c r="G88">
        <v>1.0500000000000001E-2</v>
      </c>
    </row>
    <row r="89" spans="1:7" x14ac:dyDescent="0.3">
      <c r="A89" t="str">
        <f t="shared" si="1"/>
        <v>ITApr</v>
      </c>
      <c r="B89" t="s">
        <v>13</v>
      </c>
      <c r="C89" s="1">
        <v>45383</v>
      </c>
      <c r="D89">
        <v>195575</v>
      </c>
      <c r="E89">
        <v>209045</v>
      </c>
      <c r="F89">
        <v>13470</v>
      </c>
      <c r="G89">
        <v>6.8900000000000003E-2</v>
      </c>
    </row>
    <row r="90" spans="1:7" x14ac:dyDescent="0.3">
      <c r="A90" t="str">
        <f t="shared" si="1"/>
        <v>ITMay</v>
      </c>
      <c r="B90" t="s">
        <v>13</v>
      </c>
      <c r="C90" s="1">
        <v>45413</v>
      </c>
      <c r="D90">
        <v>34520</v>
      </c>
      <c r="E90">
        <v>32585</v>
      </c>
      <c r="F90">
        <v>-1935</v>
      </c>
      <c r="G90">
        <v>-5.6099999999999997E-2</v>
      </c>
    </row>
    <row r="91" spans="1:7" x14ac:dyDescent="0.3">
      <c r="A91" t="str">
        <f t="shared" si="1"/>
        <v>ITJun</v>
      </c>
      <c r="B91" t="s">
        <v>13</v>
      </c>
      <c r="C91" s="1">
        <v>45444</v>
      </c>
      <c r="D91">
        <v>114751</v>
      </c>
      <c r="E91">
        <v>110183</v>
      </c>
      <c r="F91">
        <v>-4568</v>
      </c>
      <c r="G91">
        <v>-3.9800000000000002E-2</v>
      </c>
    </row>
    <row r="92" spans="1:7" x14ac:dyDescent="0.3">
      <c r="A92" t="str">
        <f t="shared" si="1"/>
        <v>ITJul</v>
      </c>
      <c r="B92" t="s">
        <v>13</v>
      </c>
      <c r="C92" s="1">
        <v>45474</v>
      </c>
      <c r="D92">
        <v>175143</v>
      </c>
      <c r="E92">
        <v>181459</v>
      </c>
      <c r="F92">
        <v>6316</v>
      </c>
      <c r="G92">
        <v>3.61E-2</v>
      </c>
    </row>
    <row r="93" spans="1:7" x14ac:dyDescent="0.3">
      <c r="A93" t="str">
        <f t="shared" si="1"/>
        <v>ITAug</v>
      </c>
      <c r="B93" t="s">
        <v>13</v>
      </c>
      <c r="C93" s="1">
        <v>45505</v>
      </c>
      <c r="D93">
        <v>38190</v>
      </c>
      <c r="E93">
        <v>40573</v>
      </c>
      <c r="F93">
        <v>2383</v>
      </c>
      <c r="G93">
        <v>6.2399999999999997E-2</v>
      </c>
    </row>
    <row r="94" spans="1:7" x14ac:dyDescent="0.3">
      <c r="A94" t="str">
        <f t="shared" si="1"/>
        <v>ITSep</v>
      </c>
      <c r="B94" t="s">
        <v>13</v>
      </c>
      <c r="C94" s="1">
        <v>45536</v>
      </c>
      <c r="D94">
        <v>28305</v>
      </c>
      <c r="E94">
        <v>30120</v>
      </c>
      <c r="F94">
        <v>1815</v>
      </c>
      <c r="G94">
        <v>6.4100000000000004E-2</v>
      </c>
    </row>
    <row r="95" spans="1:7" x14ac:dyDescent="0.3">
      <c r="A95" t="str">
        <f t="shared" si="1"/>
        <v>ITOct</v>
      </c>
      <c r="B95" t="s">
        <v>13</v>
      </c>
      <c r="C95" s="1">
        <v>45566</v>
      </c>
      <c r="D95">
        <v>592649</v>
      </c>
      <c r="E95">
        <v>582462</v>
      </c>
      <c r="F95">
        <v>-10187</v>
      </c>
      <c r="G95">
        <v>-1.72E-2</v>
      </c>
    </row>
    <row r="96" spans="1:7" x14ac:dyDescent="0.3">
      <c r="A96" t="str">
        <f t="shared" si="1"/>
        <v>ITNov</v>
      </c>
      <c r="B96" t="s">
        <v>13</v>
      </c>
      <c r="C96" s="1">
        <v>45597</v>
      </c>
      <c r="D96">
        <v>106995</v>
      </c>
      <c r="E96">
        <v>114463</v>
      </c>
      <c r="F96">
        <v>7468</v>
      </c>
      <c r="G96">
        <v>6.9800000000000001E-2</v>
      </c>
    </row>
    <row r="97" spans="1:7" x14ac:dyDescent="0.3">
      <c r="A97" t="str">
        <f t="shared" si="1"/>
        <v>ITDec</v>
      </c>
      <c r="B97" t="s">
        <v>13</v>
      </c>
      <c r="C97" s="1">
        <v>45627</v>
      </c>
      <c r="D97">
        <v>44481</v>
      </c>
      <c r="E97">
        <v>47290</v>
      </c>
      <c r="F97">
        <v>2809</v>
      </c>
      <c r="G97">
        <v>6.3200000000000006E-2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4A9C-38BA-4631-84BC-ED1D9AE861F4}">
  <dimension ref="B2:F26"/>
  <sheetViews>
    <sheetView showGridLines="0" tabSelected="1" zoomScale="85" zoomScaleNormal="85" workbookViewId="0">
      <selection activeCell="C6" sqref="C6"/>
    </sheetView>
  </sheetViews>
  <sheetFormatPr defaultRowHeight="14.4" x14ac:dyDescent="0.3"/>
  <cols>
    <col min="2" max="3" width="18.109375" customWidth="1"/>
    <col min="4" max="4" width="18.33203125" customWidth="1"/>
    <col min="5" max="5" width="18.44140625" customWidth="1"/>
    <col min="6" max="6" width="18.77734375" customWidth="1"/>
    <col min="7" max="7" width="9.109375" customWidth="1"/>
    <col min="8" max="8" width="18.109375" customWidth="1"/>
  </cols>
  <sheetData>
    <row r="2" spans="2:6" x14ac:dyDescent="0.3">
      <c r="B2" s="2" t="s">
        <v>20</v>
      </c>
    </row>
    <row r="3" spans="2:6" x14ac:dyDescent="0.3">
      <c r="B3" s="2" t="s">
        <v>15</v>
      </c>
    </row>
    <row r="5" spans="2:6" x14ac:dyDescent="0.3">
      <c r="B5" s="2" t="s">
        <v>0</v>
      </c>
      <c r="C5" s="2" t="s">
        <v>2</v>
      </c>
      <c r="D5" s="2" t="s">
        <v>3</v>
      </c>
      <c r="E5" s="2" t="s">
        <v>16</v>
      </c>
      <c r="F5" s="2" t="s">
        <v>17</v>
      </c>
    </row>
    <row r="6" spans="2:6" x14ac:dyDescent="0.3">
      <c r="B6" s="2" t="s">
        <v>6</v>
      </c>
      <c r="C6">
        <f>INDEX(Raw_Data!D:D,MATCH(B6&amp;$B$3,Raw_Data!A:A,0))</f>
        <v>284101</v>
      </c>
      <c r="D6">
        <f>INDEX(Raw_Data!E:E,MATCH(B6&amp;$B$3,Raw_Data!A:A,0))</f>
        <v>267910</v>
      </c>
      <c r="E6">
        <f>D6-C6</f>
        <v>-16191</v>
      </c>
      <c r="F6" s="3">
        <f>IFERROR((D6-C6)/C6,0)</f>
        <v>-5.6990295704696568E-2</v>
      </c>
    </row>
    <row r="7" spans="2:6" x14ac:dyDescent="0.3">
      <c r="B7" s="2" t="s">
        <v>7</v>
      </c>
      <c r="C7">
        <f>INDEX(Raw_Data!D:D,MATCH(B7&amp;$B$3,Raw_Data!A:A,0))</f>
        <v>1310207</v>
      </c>
      <c r="D7">
        <f>INDEX(Raw_Data!E:E,MATCH(B7&amp;$B$3,Raw_Data!A:A,0))</f>
        <v>1353427</v>
      </c>
      <c r="E7">
        <f t="shared" ref="E7:E13" si="0">D7-C7</f>
        <v>43220</v>
      </c>
      <c r="F7" s="3">
        <f t="shared" ref="F7:F13" si="1">IFERROR((D7-C7)/C7,0)</f>
        <v>3.298715393827082E-2</v>
      </c>
    </row>
    <row r="8" spans="2:6" x14ac:dyDescent="0.3">
      <c r="B8" s="2" t="s">
        <v>8</v>
      </c>
      <c r="C8">
        <f>INDEX(Raw_Data!D:D,MATCH(B8&amp;$B$3,Raw_Data!A:A,0))</f>
        <v>936211</v>
      </c>
      <c r="D8">
        <f>INDEX(Raw_Data!E:E,MATCH(B8&amp;$B$3,Raw_Data!A:A,0))</f>
        <v>899294</v>
      </c>
      <c r="E8">
        <f t="shared" si="0"/>
        <v>-36917</v>
      </c>
      <c r="F8" s="3">
        <f t="shared" si="1"/>
        <v>-3.9432350186015756E-2</v>
      </c>
    </row>
    <row r="9" spans="2:6" x14ac:dyDescent="0.3">
      <c r="B9" s="2" t="s">
        <v>9</v>
      </c>
      <c r="C9">
        <f>INDEX(Raw_Data!D:D,MATCH(B9&amp;$B$3,Raw_Data!A:A,0))</f>
        <v>32179</v>
      </c>
      <c r="D9">
        <f>INDEX(Raw_Data!E:E,MATCH(B9&amp;$B$3,Raw_Data!A:A,0))</f>
        <v>32018</v>
      </c>
      <c r="E9">
        <f t="shared" si="0"/>
        <v>-161</v>
      </c>
      <c r="F9" s="3">
        <f t="shared" si="1"/>
        <v>-5.0032629976071354E-3</v>
      </c>
    </row>
    <row r="10" spans="2:6" x14ac:dyDescent="0.3">
      <c r="B10" s="2" t="s">
        <v>10</v>
      </c>
      <c r="C10">
        <f>INDEX(Raw_Data!D:D,MATCH(B10&amp;$B$3,Raw_Data!A:A,0))</f>
        <v>176168</v>
      </c>
      <c r="D10">
        <f>INDEX(Raw_Data!E:E,MATCH(B10&amp;$B$3,Raw_Data!A:A,0))</f>
        <v>180398</v>
      </c>
      <c r="E10">
        <f t="shared" si="0"/>
        <v>4230</v>
      </c>
      <c r="F10" s="3">
        <f t="shared" si="1"/>
        <v>2.4011171154806776E-2</v>
      </c>
    </row>
    <row r="11" spans="2:6" x14ac:dyDescent="0.3">
      <c r="B11" s="2" t="s">
        <v>11</v>
      </c>
      <c r="C11">
        <f>INDEX(Raw_Data!D:D,MATCH(B11&amp;$B$3,Raw_Data!A:A,0))</f>
        <v>1363</v>
      </c>
      <c r="D11">
        <f>INDEX(Raw_Data!E:E,MATCH(B11&amp;$B$3,Raw_Data!A:A,0))</f>
        <v>1476</v>
      </c>
      <c r="E11">
        <f t="shared" si="0"/>
        <v>113</v>
      </c>
      <c r="F11" s="3">
        <f t="shared" si="1"/>
        <v>8.2905355832721933E-2</v>
      </c>
    </row>
    <row r="12" spans="2:6" x14ac:dyDescent="0.3">
      <c r="B12" s="2" t="s">
        <v>12</v>
      </c>
      <c r="C12">
        <f>INDEX(Raw_Data!D:D,MATCH(B12&amp;$B$3,Raw_Data!A:A,0))</f>
        <v>204546</v>
      </c>
      <c r="D12">
        <f>INDEX(Raw_Data!E:E,MATCH(B12&amp;$B$3,Raw_Data!A:A,0))</f>
        <v>215530</v>
      </c>
      <c r="E12">
        <f t="shared" si="0"/>
        <v>10984</v>
      </c>
      <c r="F12" s="3">
        <f t="shared" si="1"/>
        <v>5.3699412357122604E-2</v>
      </c>
    </row>
    <row r="13" spans="2:6" x14ac:dyDescent="0.3">
      <c r="B13" s="2" t="s">
        <v>13</v>
      </c>
      <c r="C13">
        <f>INDEX(Raw_Data!D:D,MATCH(B13&amp;$B$3,Raw_Data!A:A,0))</f>
        <v>107335</v>
      </c>
      <c r="D13">
        <f>INDEX(Raw_Data!E:E,MATCH(B13&amp;$B$3,Raw_Data!A:A,0))</f>
        <v>116922</v>
      </c>
      <c r="E13">
        <f t="shared" si="0"/>
        <v>9587</v>
      </c>
      <c r="F13" s="3">
        <f t="shared" si="1"/>
        <v>8.931848884334094E-2</v>
      </c>
    </row>
    <row r="16" spans="2:6" x14ac:dyDescent="0.3">
      <c r="B16" s="2" t="s">
        <v>0</v>
      </c>
      <c r="C16" t="s">
        <v>21</v>
      </c>
    </row>
    <row r="17" spans="2:3" x14ac:dyDescent="0.3">
      <c r="B17" s="2" t="s">
        <v>18</v>
      </c>
      <c r="C17" s="2">
        <f>SUM(C6:C13)</f>
        <v>3052110</v>
      </c>
    </row>
    <row r="18" spans="2:3" x14ac:dyDescent="0.3">
      <c r="B18" s="2" t="s">
        <v>6</v>
      </c>
      <c r="C18" s="2">
        <f>E6</f>
        <v>-16191</v>
      </c>
    </row>
    <row r="19" spans="2:3" x14ac:dyDescent="0.3">
      <c r="B19" s="2" t="s">
        <v>7</v>
      </c>
      <c r="C19" s="2">
        <f>E7</f>
        <v>43220</v>
      </c>
    </row>
    <row r="20" spans="2:3" x14ac:dyDescent="0.3">
      <c r="B20" s="2" t="s">
        <v>8</v>
      </c>
      <c r="C20" s="2">
        <f>E8</f>
        <v>-36917</v>
      </c>
    </row>
    <row r="21" spans="2:3" x14ac:dyDescent="0.3">
      <c r="B21" s="2" t="s">
        <v>9</v>
      </c>
      <c r="C21" s="2">
        <f>E9</f>
        <v>-161</v>
      </c>
    </row>
    <row r="22" spans="2:3" x14ac:dyDescent="0.3">
      <c r="B22" s="2" t="s">
        <v>10</v>
      </c>
      <c r="C22" s="2">
        <f>E10</f>
        <v>4230</v>
      </c>
    </row>
    <row r="23" spans="2:3" x14ac:dyDescent="0.3">
      <c r="B23" s="2" t="s">
        <v>11</v>
      </c>
      <c r="C23" s="2">
        <f>E11</f>
        <v>113</v>
      </c>
    </row>
    <row r="24" spans="2:3" x14ac:dyDescent="0.3">
      <c r="B24" s="2" t="s">
        <v>12</v>
      </c>
      <c r="C24" s="2">
        <f>E12</f>
        <v>10984</v>
      </c>
    </row>
    <row r="25" spans="2:3" x14ac:dyDescent="0.3">
      <c r="B25" s="2" t="s">
        <v>13</v>
      </c>
      <c r="C25" s="2">
        <f>E13</f>
        <v>9587</v>
      </c>
    </row>
    <row r="26" spans="2:3" x14ac:dyDescent="0.3">
      <c r="B26" s="2" t="s">
        <v>19</v>
      </c>
      <c r="C26" s="2">
        <f>SUM(D6:D13)</f>
        <v>3066975</v>
      </c>
    </row>
  </sheetData>
  <conditionalFormatting sqref="F6:F13">
    <cfRule type="cellIs" dxfId="9" priority="1" operator="greaterThan">
      <formula>0</formula>
    </cfRule>
    <cfRule type="cellIs" dxfId="8" priority="2" operator="lessThan">
      <formula>0</formula>
    </cfRule>
  </conditionalFormatting>
  <dataValidations count="1">
    <dataValidation type="list" allowBlank="1" showInputMessage="1" showErrorMessage="1" sqref="B3" xr:uid="{CDC1A7E0-CA6F-4F4D-A45E-A70F19990BB0}">
      <formula1>"Jan, Feb, Mar, Apr, May, Jun, Jul, Aug, Sep, Oct, Nov, Dec"</formula1>
    </dataValidation>
  </dataValidation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HASEEB</dc:creator>
  <cp:lastModifiedBy>Nida Tasneem</cp:lastModifiedBy>
  <dcterms:created xsi:type="dcterms:W3CDTF">2026-04-02T12:34:49Z</dcterms:created>
  <dcterms:modified xsi:type="dcterms:W3CDTF">2026-04-30T11:09:22Z</dcterms:modified>
</cp:coreProperties>
</file>